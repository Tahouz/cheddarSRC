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D11" i="1" l="1"/>
  <c r="E11" i="1" s="1"/>
  <c r="G11" i="1"/>
  <c r="F11" i="1"/>
  <c r="G5" i="1" l="1"/>
  <c r="G6" i="1"/>
  <c r="G7" i="1"/>
  <c r="G8" i="1"/>
  <c r="G9" i="1"/>
  <c r="G10" i="1"/>
  <c r="G4" i="1"/>
  <c r="F5" i="1"/>
  <c r="D5" i="1"/>
  <c r="D6" i="1"/>
  <c r="D7" i="1"/>
  <c r="D8" i="1"/>
  <c r="D9" i="1"/>
  <c r="D10" i="1"/>
  <c r="D4" i="1"/>
  <c r="C15" i="1"/>
  <c r="E10" i="1" s="1"/>
  <c r="F10" i="1"/>
  <c r="F4" i="1"/>
  <c r="E4" i="1" l="1"/>
  <c r="E9" i="1"/>
  <c r="E8" i="1"/>
  <c r="E7" i="1"/>
  <c r="E6" i="1"/>
  <c r="E5" i="1"/>
</calcChain>
</file>

<file path=xl/sharedStrings.xml><?xml version="1.0" encoding="utf-8"?>
<sst xmlns="http://schemas.openxmlformats.org/spreadsheetml/2006/main" count="29" uniqueCount="26">
  <si>
    <t>task</t>
  </si>
  <si>
    <t>altitude</t>
  </si>
  <si>
    <t>az_filter</t>
  </si>
  <si>
    <t>h_filter</t>
  </si>
  <si>
    <t>va_control</t>
  </si>
  <si>
    <t>va_filter</t>
  </si>
  <si>
    <t>vz_control</t>
  </si>
  <si>
    <t>vz_filter</t>
  </si>
  <si>
    <t>cpu frequency</t>
  </si>
  <si>
    <t>Mhz</t>
  </si>
  <si>
    <t>durée d'un cycle en seconde</t>
  </si>
  <si>
    <t>Processor demand/PD cycles</t>
  </si>
  <si>
    <t>memory access delay cycle</t>
  </si>
  <si>
    <t>period millisec</t>
  </si>
  <si>
    <t>period microsec</t>
  </si>
  <si>
    <t>WCET  microsec</t>
  </si>
  <si>
    <t>Memory demande/MD number of memory access</t>
  </si>
  <si>
    <t>WCET cycle</t>
  </si>
  <si>
    <t>Cheddar task priority</t>
  </si>
  <si>
    <t>cpu mapping</t>
  </si>
  <si>
    <t>cpu4</t>
  </si>
  <si>
    <t>cpu3</t>
  </si>
  <si>
    <t>cpu0</t>
  </si>
  <si>
    <t>cpu2</t>
  </si>
  <si>
    <t>q_filter</t>
  </si>
  <si>
    <t>cpu1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</si>
</sst>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abSelected="1" workbookViewId="0">
      <selection activeCell="A12" sqref="A12:XFD12"/>
    </sheetView>
  </sheetViews>
  <sheetFormatPr baseColWidth="10" defaultColWidth="8.88671875" defaultRowHeight="14.4" x14ac:dyDescent="0.3"/>
  <cols>
    <col min="1" max="1" width="14.88671875" customWidth="1"/>
    <col min="2" max="2" width="20.21875" customWidth="1"/>
    <col min="3" max="3" width="15.33203125" customWidth="1"/>
    <col min="4" max="5" width="15.44140625" customWidth="1"/>
    <col min="6" max="6" width="12.88671875" customWidth="1"/>
    <col min="8" max="8" width="10.6640625" customWidth="1"/>
  </cols>
  <sheetData>
    <row r="2" spans="1:9" ht="69.599999999999994" customHeight="1" x14ac:dyDescent="0.3">
      <c r="A2" t="s">
        <v>0</v>
      </c>
      <c r="B2" s="2" t="s">
        <v>11</v>
      </c>
      <c r="C2" s="4" t="s">
        <v>16</v>
      </c>
      <c r="D2" t="s">
        <v>17</v>
      </c>
      <c r="E2" s="3" t="s">
        <v>15</v>
      </c>
      <c r="F2" t="s">
        <v>13</v>
      </c>
      <c r="G2" s="4" t="s">
        <v>14</v>
      </c>
      <c r="H2" s="4" t="s">
        <v>18</v>
      </c>
      <c r="I2" s="4" t="s">
        <v>19</v>
      </c>
    </row>
    <row r="3" spans="1:9" x14ac:dyDescent="0.3">
      <c r="A3" s="5"/>
      <c r="B3" s="5"/>
      <c r="C3" s="6"/>
      <c r="D3" s="5"/>
      <c r="E3" s="6"/>
      <c r="F3" s="5"/>
      <c r="G3" s="6"/>
      <c r="H3" s="6"/>
      <c r="I3" s="6"/>
    </row>
    <row r="4" spans="1:9" x14ac:dyDescent="0.3">
      <c r="A4" s="5" t="s">
        <v>1</v>
      </c>
      <c r="B4" s="5">
        <v>275</v>
      </c>
      <c r="C4" s="6">
        <v>22</v>
      </c>
      <c r="D4" s="5">
        <f t="shared" ref="D4:D11" si="0">B4+C4*$C$16</f>
        <v>495</v>
      </c>
      <c r="E4" s="6">
        <f>D4*$C$15*1000000000</f>
        <v>1237.5</v>
      </c>
      <c r="F4" s="5">
        <f>1000/50</f>
        <v>20</v>
      </c>
      <c r="G4" s="6">
        <f>F4*1000</f>
        <v>20000</v>
      </c>
      <c r="H4" s="6">
        <v>3</v>
      </c>
      <c r="I4" s="6" t="s">
        <v>20</v>
      </c>
    </row>
    <row r="5" spans="1:9" x14ac:dyDescent="0.3">
      <c r="A5" s="5" t="s">
        <v>2</v>
      </c>
      <c r="B5" s="5">
        <v>274</v>
      </c>
      <c r="C5" s="6">
        <v>22</v>
      </c>
      <c r="D5" s="5">
        <f t="shared" si="0"/>
        <v>494</v>
      </c>
      <c r="E5" s="6">
        <f t="shared" ref="E5:E11" si="1">D5*$C$15*1000000000</f>
        <v>1235</v>
      </c>
      <c r="F5" s="5">
        <f>1000/100</f>
        <v>10</v>
      </c>
      <c r="G5" s="6">
        <f t="shared" ref="G5:G11" si="2">F5*1000</f>
        <v>10000</v>
      </c>
      <c r="H5" s="6">
        <v>4</v>
      </c>
      <c r="I5" s="6" t="s">
        <v>21</v>
      </c>
    </row>
    <row r="6" spans="1:9" x14ac:dyDescent="0.3">
      <c r="A6" s="5" t="s">
        <v>3</v>
      </c>
      <c r="B6" s="5">
        <v>326</v>
      </c>
      <c r="C6" s="6">
        <v>24</v>
      </c>
      <c r="D6" s="5">
        <f t="shared" si="0"/>
        <v>566</v>
      </c>
      <c r="E6" s="6">
        <f t="shared" si="1"/>
        <v>1415</v>
      </c>
      <c r="F6" s="5">
        <v>10</v>
      </c>
      <c r="G6" s="6">
        <f t="shared" si="2"/>
        <v>10000</v>
      </c>
      <c r="H6" s="6">
        <v>5</v>
      </c>
      <c r="I6" s="6" t="s">
        <v>20</v>
      </c>
    </row>
    <row r="7" spans="1:9" x14ac:dyDescent="0.3">
      <c r="A7" s="5" t="s">
        <v>4</v>
      </c>
      <c r="B7" s="5">
        <v>303</v>
      </c>
      <c r="C7" s="6">
        <v>24</v>
      </c>
      <c r="D7" s="5">
        <f t="shared" si="0"/>
        <v>543</v>
      </c>
      <c r="E7" s="6">
        <f t="shared" si="1"/>
        <v>1357.5000000000002</v>
      </c>
      <c r="F7" s="5">
        <v>20</v>
      </c>
      <c r="G7" s="6">
        <f t="shared" si="2"/>
        <v>20000</v>
      </c>
      <c r="H7" s="6">
        <v>1</v>
      </c>
      <c r="I7" s="6" t="s">
        <v>22</v>
      </c>
    </row>
    <row r="8" spans="1:9" x14ac:dyDescent="0.3">
      <c r="A8" s="5" t="s">
        <v>5</v>
      </c>
      <c r="B8" s="5">
        <v>301</v>
      </c>
      <c r="C8" s="6">
        <v>23</v>
      </c>
      <c r="D8" s="5">
        <f t="shared" si="0"/>
        <v>531</v>
      </c>
      <c r="E8" s="6">
        <f t="shared" si="1"/>
        <v>1327.5</v>
      </c>
      <c r="F8" s="5">
        <v>10</v>
      </c>
      <c r="G8" s="6">
        <f t="shared" si="2"/>
        <v>10000</v>
      </c>
      <c r="H8" s="6">
        <v>6</v>
      </c>
      <c r="I8" s="6" t="s">
        <v>22</v>
      </c>
    </row>
    <row r="9" spans="1:9" x14ac:dyDescent="0.3">
      <c r="A9" s="5" t="s">
        <v>6</v>
      </c>
      <c r="B9" s="5">
        <v>320</v>
      </c>
      <c r="C9" s="6">
        <v>25</v>
      </c>
      <c r="D9" s="5">
        <f t="shared" si="0"/>
        <v>570</v>
      </c>
      <c r="E9" s="6">
        <f t="shared" si="1"/>
        <v>1425.0000000000002</v>
      </c>
      <c r="F9" s="5">
        <v>20</v>
      </c>
      <c r="G9" s="6">
        <f t="shared" si="2"/>
        <v>20000</v>
      </c>
      <c r="H9" s="6">
        <v>2</v>
      </c>
      <c r="I9" s="6" t="s">
        <v>20</v>
      </c>
    </row>
    <row r="10" spans="1:9" x14ac:dyDescent="0.3">
      <c r="A10" s="5" t="s">
        <v>7</v>
      </c>
      <c r="B10" s="5">
        <v>334</v>
      </c>
      <c r="C10" s="6">
        <v>25</v>
      </c>
      <c r="D10" s="5">
        <f t="shared" si="0"/>
        <v>584</v>
      </c>
      <c r="E10" s="6">
        <f t="shared" si="1"/>
        <v>1460</v>
      </c>
      <c r="F10" s="5">
        <f>1000/100</f>
        <v>10</v>
      </c>
      <c r="G10" s="6">
        <f t="shared" si="2"/>
        <v>10000</v>
      </c>
      <c r="H10" s="6">
        <v>7</v>
      </c>
      <c r="I10" s="6" t="s">
        <v>23</v>
      </c>
    </row>
    <row r="11" spans="1:9" x14ac:dyDescent="0.3">
      <c r="A11" s="5" t="s">
        <v>24</v>
      </c>
      <c r="B11" s="5">
        <v>334</v>
      </c>
      <c r="C11" s="6">
        <v>25</v>
      </c>
      <c r="D11" s="5">
        <f t="shared" si="0"/>
        <v>584</v>
      </c>
      <c r="E11" s="6">
        <f t="shared" si="1"/>
        <v>1460</v>
      </c>
      <c r="F11" s="5">
        <f>1000/100</f>
        <v>10</v>
      </c>
      <c r="G11" s="6">
        <f t="shared" si="2"/>
        <v>10000</v>
      </c>
      <c r="H11" s="6">
        <v>8</v>
      </c>
      <c r="I11" s="6" t="s">
        <v>25</v>
      </c>
    </row>
    <row r="12" spans="1:9" x14ac:dyDescent="0.3">
      <c r="A12" s="5"/>
      <c r="B12" s="5"/>
      <c r="C12" s="6"/>
      <c r="D12" s="5"/>
      <c r="E12" s="6"/>
      <c r="F12" s="5"/>
      <c r="G12" s="6"/>
      <c r="H12" s="6"/>
      <c r="I12" s="6"/>
    </row>
    <row r="14" spans="1:9" x14ac:dyDescent="0.3">
      <c r="A14" t="s">
        <v>8</v>
      </c>
      <c r="C14">
        <v>400</v>
      </c>
      <c r="D14" t="s">
        <v>9</v>
      </c>
    </row>
    <row r="15" spans="1:9" x14ac:dyDescent="0.3">
      <c r="A15" t="s">
        <v>10</v>
      </c>
      <c r="C15" s="1">
        <f>1/(C14*1000000)</f>
        <v>2.5000000000000001E-9</v>
      </c>
    </row>
    <row r="16" spans="1:9" x14ac:dyDescent="0.3">
      <c r="A16" t="s">
        <v>12</v>
      </c>
      <c r="C16">
        <v>10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2019-11-19T09:59:10Z</dcterms:modified>
</cp:coreProperties>
</file>